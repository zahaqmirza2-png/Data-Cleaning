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3"/>
  <workbookPr/>
  <mc:AlternateContent xmlns:mc="http://schemas.openxmlformats.org/markup-compatibility/2006">
    <mc:Choice Requires="x15">
      <x15ac:absPath xmlns:x15ac="http://schemas.microsoft.com/office/spreadsheetml/2010/11/ac" url="https://d.docs.live.net/3A5BD36890BDD7E1/assignment/"/>
    </mc:Choice>
  </mc:AlternateContent>
  <xr:revisionPtr revIDLastSave="0" documentId="8_{485F9D86-F764-DB4A-BAE0-F8BBB8C90A6B}" xr6:coauthVersionLast="47" xr6:coauthVersionMax="47" xr10:uidLastSave="{00000000-0000-0000-0000-000000000000}"/>
  <bookViews>
    <workbookView xWindow="-108" yWindow="-108" windowWidth="23256" windowHeight="12456" firstSheet="3" xr2:uid="{00000000-000D-0000-FFFF-FFFF00000000}"/>
  </bookViews>
  <sheets>
    <sheet name="Instructions" sheetId="1" r:id="rId1"/>
    <sheet name="Dataset" sheetId="2" r:id="rId2"/>
    <sheet name="Sheet1" sheetId="3" r:id="rId3"/>
    <sheet name="Cleaned Dataset" sheetId="4" r:id="rId4"/>
  </sheets>
  <definedNames>
    <definedName name="ExternalData_1" localSheetId="3" hidden="1">'Cleaned Dataset'!$A$1:$F$33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<sst xmlns="http://schemas.openxmlformats.org/spreadsheetml/2006/main" count="413" uniqueCount="171">
  <si>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</si>
  <si>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</si>
  <si>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</si>
  <si>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</si>
  <si>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</si>
  <si>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</si>
  <si>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</si>
  <si>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</si>
  <si>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</si>
  <si>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</si>
  <si>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</si>
  <si>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</si>
  <si>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</si>
  <si>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</si>
  <si>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</si>
  <si>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</si>
  <si>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</si>
  <si>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</si>
  <si>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</si>
  <si>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</si>
  <si>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</si>
  <si>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</si>
  <si>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</si>
  <si>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</si>
  <si>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</si>
  <si>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</si>
  <si>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</si>
  <si>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</si>
  <si>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</si>
  <si>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</si>
  <si>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</si>
  <si>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</si>
  <si>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</si>
  <si>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</si>
  <si>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</si>
  <si>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</si>
  <si>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</si>
  <si>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</si>
  <si>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</si>
  <si>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</si>
  <si>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</si>
  <si>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</si>
  <si>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</si>
  <si>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</si>
  <si>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</si>
  <si>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</si>
  <si>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</si>
  <si>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</si>
  <si>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</si>
  <si>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</si>
  <si>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</si>
  <si>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</si>
  <si>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</si>
  <si>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</si>
  <si>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</si>
  <si>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</si>
  <si>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</si>
  <si>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</si>
  <si>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</si>
  <si>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</si>
  <si>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</si>
  <si>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</si>
  <si>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</si>
  <si>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</si>
  <si>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</si>
  <si>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</si>
  <si>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</si>
  <si>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</si>
  <si>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</si>
  <si>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</si>
  <si>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</si>
  <si>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</si>
  <si>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</si>
  <si>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</si>
  <si>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</si>
  <si>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</si>
  <si>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</si>
  <si>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</si>
  <si>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</si>
  <si>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</si>
  <si>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</si>
  <si>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</si>
  <si>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</si>
  <si>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</si>
  <si>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</si>
  <si>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</si>
  <si>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</si>
  <si>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</si>
  <si>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</si>
  <si>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</si>
  <si>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</si>
  <si>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</si>
  <si>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</si>
  <si>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</si>
  <si>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</si>
  <si>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</si>
  <si>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</si>
  <si>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</si>
  <si>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</si>
  <si>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</si>
  <si>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</si>
  <si>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</si>
  <si>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</si>
  <si>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</si>
  <si>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</si>
  <si>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</si>
  <si>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</si>
  <si>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</si>
  <si>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</si>
  <si>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</si>
  <si>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</si>
  <si>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</si>
  <si>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</si>
  <si>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</si>
  <si>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</si>
  <si>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</si>
  <si>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</si>
  <si>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contry code</t>
  </si>
  <si>
    <t>Product Name2</t>
  </si>
  <si>
    <t>Product Brand</t>
  </si>
  <si>
    <t>Price with missing</t>
  </si>
  <si>
    <t>Category Highlight</t>
  </si>
  <si>
    <t>Category2</t>
  </si>
  <si>
    <t>US</t>
  </si>
  <si>
    <t>Electronic</t>
  </si>
  <si>
    <t>UK</t>
  </si>
  <si>
    <t>T-Shirt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</si>
  <si>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</si>
  <si>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</si>
  <si>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</si>
  <si>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</si>
  <si>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</si>
  <si>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</si>
  <si>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</si>
  <si>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</si>
  <si>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</si>
  <si>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</si>
  <si>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Manufacturing date</t>
  </si>
  <si>
    <t>country code</t>
  </si>
  <si>
    <t>Laptop-Dell</t>
  </si>
  <si>
    <t>Sneakers-Nike</t>
  </si>
  <si>
    <t>Coffee Maker-Keurig</t>
  </si>
  <si>
    <t>Smartphone-Samsung</t>
  </si>
  <si>
    <t>Backpack-North Face</t>
  </si>
  <si>
    <t>Missing</t>
  </si>
  <si>
    <t>Headphones-Sony</t>
  </si>
  <si>
    <t>T-Shirt-Adidas</t>
  </si>
  <si>
    <t>Blender-Ninja</t>
  </si>
  <si>
    <t>Tablet-Apple</t>
  </si>
  <si>
    <t>Hiking Boots-Timberland</t>
  </si>
  <si>
    <t>Laptop-HP</t>
  </si>
  <si>
    <t>Sneakers-Adidas</t>
  </si>
  <si>
    <t>Coffee Maker-Nespresso</t>
  </si>
  <si>
    <t>Smartwatch-Fitbit</t>
  </si>
  <si>
    <t>Headphones-Bose</t>
  </si>
  <si>
    <t>Laptop Bag-Samsonite</t>
  </si>
  <si>
    <t>Smartwatch-Huawei</t>
  </si>
  <si>
    <t>Laptop-Asus</t>
  </si>
  <si>
    <t>Sunglasses-Oakley</t>
  </si>
  <si>
    <t>Camping Tent-Coleman</t>
  </si>
  <si>
    <t>Camera-Nikon</t>
  </si>
  <si>
    <t>Microwave-Panasonic</t>
  </si>
  <si>
    <t>Fitness Tracker-Xiaomi</t>
  </si>
  <si>
    <t>Smartphone-Google</t>
  </si>
  <si>
    <t>Sunglasses-Ray-Ban</t>
  </si>
  <si>
    <t>Blender-Vitamix</t>
  </si>
  <si>
    <t>Dress-Zara</t>
  </si>
  <si>
    <t>Toaster-Hamilton</t>
  </si>
  <si>
    <t>Fitness Tracker-Garmin</t>
  </si>
  <si>
    <t>Jeans-Levi's</t>
  </si>
  <si>
    <t>Watch-Casio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</si>
</sst>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8"/>
      <name val="Arial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16" fontId="5" fillId="0" borderId="0" xfId="0" applyNumberFormat="1" applyFont="1"/>
    <xf numFmtId="16" fontId="5" fillId="3" borderId="0" xfId="0" applyNumberFormat="1" applyFont="1" applyFill="1"/>
    <xf numFmtId="0" fontId="9" fillId="2" borderId="0" xfId="0" applyFont="1" applyFill="1" applyAlignment="1">
      <alignment horizontal="center"/>
    </xf>
    <xf numFmtId="164" fontId="9" fillId="2" borderId="0" xfId="0" applyNumberFormat="1" applyFont="1" applyFill="1" applyAlignment="1">
      <alignment horizontal="center"/>
    </xf>
    <xf numFmtId="164" fontId="5" fillId="0" borderId="0" xfId="0" applyNumberFormat="1" applyFont="1"/>
    <xf numFmtId="164" fontId="5" fillId="3" borderId="0" xfId="0" applyNumberFormat="1" applyFont="1" applyFill="1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64" formatCode="&quot;₹&quot;\ #,##0.0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₹&quot;\ #,##0.00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300-000000000000}" autoFormatId="16" applyNumberFormats="0" applyBorderFormats="0" applyFontFormats="0" applyPatternFormats="0" applyAlignmentFormats="0" applyWidthHeightFormats="0">
  <queryTableRefresh nextId="9">
    <queryTableFields count="6">
      <queryTableField id="1" name="Product date" tableColumnId="1"/>
      <queryTableField id="2" name="Product code" tableColumnId="2"/>
      <queryTableField id="3" name="Merged" tableColumnId="3"/>
      <queryTableField id="8" dataBound="0" tableColumnId="8"/>
      <queryTableField id="5" name="Quantity" tableColumnId="5"/>
      <queryTableField id="6" name="Category" tableColumnId="6"/>
    </queryTableFields>
    <queryTableDeletedFields count="1">
      <deletedField name="Price ($)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124CF9-F018-4C35-AD1F-0673DF9343A7}" name="Table1" displayName="Table1" ref="A1:J32" totalsRowShown="0" headerRowDxfId="20" dataDxfId="19">
  <tableColumns count="10">
    <tableColumn id="1" xr3:uid="{4D37C96C-C1E6-49FA-BF0B-A3A6426DCD2C}" name="Manufacturing Date" dataDxfId="18"/>
    <tableColumn id="11" xr3:uid="{B37B693F-E27D-48CD-8C08-BC375A346A59}" name="contry code" dataDxfId="17"/>
    <tableColumn id="9" xr3:uid="{EBB232F3-1BCD-4505-A582-AE6A94331340}" name="Product Name2" dataDxfId="16"/>
    <tableColumn id="3" xr3:uid="{62DD150E-CB99-4EB3-BBA6-38F8BE789C53}" name="Brand Name" dataDxfId="15"/>
    <tableColumn id="10" xr3:uid="{C5806993-63F5-4940-90DB-FDF8540DA685}" name="Product Brand" dataDxfId="14">
      <calculatedColumnFormula>CONCATENATE(Table1[[#This Row],[Product Name2]]," ",Table1[[#This Row],[Brand Name]])</calculatedColumnFormula>
    </tableColumn>
    <tableColumn id="4" xr3:uid="{5E8830FC-EA62-43DC-A912-BAA36CDBE13C}" name="Price ($)" dataDxfId="13"/>
    <tableColumn id="7" xr3:uid="{A54181B8-470D-4800-8E22-BDB10D7110BA}" name="Price with missing" dataDxfId="12">
      <calculatedColumnFormula>IF(ISBLANK(Table1[[#This Row],[Price ($)]]),AVERAGE(Table1[Price ($)]),Table1[[#This Row],[Price ($)]])</calculatedColumnFormula>
    </tableColumn>
    <tableColumn id="5" xr3:uid="{80FADDF6-E73E-447A-AE5C-A1EB32B545CB}" name="Quantity" dataDxfId="11"/>
    <tableColumn id="13" xr3:uid="{BB2D3267-BB36-4104-B67F-BF2DA40A635B}" name="Category Highlight" dataDxfId="10"/>
    <tableColumn id="6" xr3:uid="{1435D411-0980-417F-9AF5-E3D0478ED01F}" name="Category2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46C554-8CB6-4DD9-812A-2808F3FDB246}" name="Dataset" displayName="Dataset" ref="A1:F33" tableType="queryTable" totalsRowShown="0">
  <autoFilter ref="A1:F33" xr:uid="{2446C554-8CB6-4DD9-812A-2808F3FDB246}"/>
  <tableColumns count="6">
    <tableColumn id="1" xr3:uid="{7DB28A41-F4A5-4030-A46E-D638E0C167AE}" uniqueName="1" name="Manufacturing date" queryTableFieldId="1" dataDxfId="8"/>
    <tableColumn id="2" xr3:uid="{FF853A23-051D-4501-A926-3271FE4D49DB}" uniqueName="2" name="country code" queryTableFieldId="2" dataDxfId="7"/>
    <tableColumn id="3" xr3:uid="{56E924D0-3799-4B23-8678-19DB5CC488B4}" uniqueName="3" name="Product Brand" queryTableFieldId="3" dataDxfId="6"/>
    <tableColumn id="8" xr3:uid="{0489D54C-A81F-480A-981A-99266830F928}" uniqueName="8" name="Price ($)" queryTableFieldId="8" dataDxfId="5"/>
    <tableColumn id="5" xr3:uid="{3261A07E-F477-4106-B6A0-BE9AF9A36492}" uniqueName="5" name="Quantity" queryTableFieldId="5"/>
    <tableColumn id="6" xr3:uid="{9917FB19-E437-4460-8952-7E54A0BD3AFB}" uniqueName="6" name="Category" queryTableFieldId="6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abSelected="1" workbookViewId="0">
      <selection activeCell="K12" sqref="K12"/>
    </sheetView>
  </sheetViews>
  <sheetFormatPr defaultColWidth="12.67578125" defaultRowHeight="15" customHeight="1" x14ac:dyDescent="0.15"/>
  <cols>
    <col min="1" max="1" width="12.67578125" customWidth="1"/>
    <col min="2" max="2" width="7.4140625" customWidth="1"/>
    <col min="3" max="6" width="12.67578125" customWidth="1"/>
  </cols>
  <sheetData>
    <row r="1" spans="1:11" ht="15.75" customHeight="1" x14ac:dyDescent="0.15">
      <c r="A1" s="1" t="s">
        <v>0</v>
      </c>
    </row>
    <row r="2" spans="1:11" ht="15.75" customHeight="1" x14ac:dyDescent="0.15"/>
    <row r="3" spans="1:11" ht="15.75" customHeight="1" x14ac:dyDescent="0.15">
      <c r="B3" s="2" t="s">
        <v>1</v>
      </c>
    </row>
    <row r="4" spans="1:11" ht="15.75" customHeight="1" x14ac:dyDescent="0.15">
      <c r="C4" s="3" t="s">
        <v>2</v>
      </c>
    </row>
    <row r="5" spans="1:11" ht="15.75" customHeight="1" x14ac:dyDescent="0.2">
      <c r="B5" s="4"/>
      <c r="C5" s="3" t="s">
        <v>3</v>
      </c>
    </row>
    <row r="6" spans="1:11" ht="15.75" customHeight="1" x14ac:dyDescent="0.2">
      <c r="B6" s="4"/>
    </row>
    <row r="7" spans="1:11" ht="15.75" customHeight="1" x14ac:dyDescent="0.15">
      <c r="B7" s="2" t="s">
        <v>4</v>
      </c>
    </row>
    <row r="8" spans="1:11" ht="15.75" customHeight="1" x14ac:dyDescent="0.15">
      <c r="C8" s="3" t="s">
        <v>5</v>
      </c>
    </row>
    <row r="9" spans="1:11" ht="15.75" customHeight="1" x14ac:dyDescent="0.15">
      <c r="C9" s="3" t="s">
        <v>6</v>
      </c>
    </row>
    <row r="10" spans="1:11" ht="15.75" customHeight="1" x14ac:dyDescent="0.15">
      <c r="C10" s="3" t="s">
        <v>7</v>
      </c>
    </row>
    <row r="11" spans="1:11" ht="15.75" customHeight="1" x14ac:dyDescent="0.2">
      <c r="B11" s="4"/>
    </row>
    <row r="12" spans="1:11" ht="15.75" customHeight="1" x14ac:dyDescent="0.15">
      <c r="B12" s="2" t="s">
        <v>8</v>
      </c>
    </row>
    <row r="13" spans="1:11" ht="15.75" customHeight="1" x14ac:dyDescent="0.15">
      <c r="B13" s="2"/>
      <c r="C13" s="3" t="s">
        <v>9</v>
      </c>
    </row>
    <row r="14" spans="1:11" ht="15.75" customHeight="1" x14ac:dyDescent="0.15"/>
    <row r="15" spans="1:11" ht="15.75" customHeight="1" x14ac:dyDescent="0.15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1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1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1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15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1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1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1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15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1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1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1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1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15"/>
    <row r="29" spans="2:11" ht="15.75" customHeight="1" x14ac:dyDescent="0.15"/>
    <row r="30" spans="2:11" ht="15.75" customHeight="1" x14ac:dyDescent="0.15"/>
    <row r="31" spans="2:11" ht="15.75" customHeight="1" x14ac:dyDescent="0.15"/>
    <row r="32" spans="2:1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workbookViewId="0">
      <selection sqref="A1:A1048576"/>
    </sheetView>
  </sheetViews>
  <sheetFormatPr defaultColWidth="12.67578125" defaultRowHeight="15" customHeight="1" x14ac:dyDescent="0.15"/>
  <cols>
    <col min="1" max="1" width="14.0234375" customWidth="1"/>
    <col min="2" max="2" width="14.29296875" customWidth="1"/>
    <col min="3" max="3" width="15.23828125" customWidth="1"/>
    <col min="4" max="4" width="12.67578125" customWidth="1"/>
    <col min="5" max="5" width="14.42578125" customWidth="1"/>
    <col min="6" max="6" width="16.1796875" customWidth="1"/>
  </cols>
  <sheetData>
    <row r="1" spans="1:6" ht="15.75" customHeight="1" x14ac:dyDescent="0.1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6" ht="15.75" customHeight="1" x14ac:dyDescent="0.1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6" ht="15.75" customHeight="1" x14ac:dyDescent="0.1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</row>
    <row r="4" spans="1:6" ht="15.75" customHeight="1" x14ac:dyDescent="0.1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</row>
    <row r="5" spans="1:6" ht="15.75" customHeight="1" x14ac:dyDescent="0.1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</row>
    <row r="6" spans="1:6" ht="15.75" customHeight="1" x14ac:dyDescent="0.1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6" ht="15.75" customHeight="1" x14ac:dyDescent="0.1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6" ht="15.75" customHeight="1" x14ac:dyDescent="0.1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6" ht="15.75" customHeight="1" x14ac:dyDescent="0.1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6" ht="15.75" customHeight="1" x14ac:dyDescent="0.1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6" ht="15.75" customHeight="1" x14ac:dyDescent="0.1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6" ht="15.75" customHeight="1" x14ac:dyDescent="0.1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6" ht="15.75" customHeight="1" x14ac:dyDescent="0.1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6" ht="15.75" customHeight="1" x14ac:dyDescent="0.1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6" ht="15.75" customHeight="1" x14ac:dyDescent="0.1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6" ht="15.75" customHeight="1" x14ac:dyDescent="0.1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1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1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1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1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1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1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1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1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1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1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1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1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1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1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1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1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1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1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1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15"/>
    <row r="37" spans="1:6" ht="15.75" customHeight="1" x14ac:dyDescent="0.15"/>
    <row r="38" spans="1:6" ht="15.75" customHeight="1" x14ac:dyDescent="0.15"/>
    <row r="39" spans="1:6" ht="15.75" customHeight="1" x14ac:dyDescent="0.15"/>
    <row r="40" spans="1:6" ht="15.75" customHeight="1" x14ac:dyDescent="0.15"/>
    <row r="41" spans="1:6" ht="15.75" customHeight="1" x14ac:dyDescent="0.15"/>
    <row r="42" spans="1:6" ht="15.75" customHeight="1" x14ac:dyDescent="0.15"/>
    <row r="43" spans="1:6" ht="15.75" customHeight="1" x14ac:dyDescent="0.15"/>
    <row r="44" spans="1:6" ht="15.75" customHeight="1" x14ac:dyDescent="0.15"/>
    <row r="45" spans="1:6" ht="15.75" customHeight="1" x14ac:dyDescent="0.15"/>
    <row r="46" spans="1:6" ht="15.75" customHeight="1" x14ac:dyDescent="0.15"/>
    <row r="47" spans="1:6" ht="15.75" customHeight="1" x14ac:dyDescent="0.15"/>
    <row r="48" spans="1:6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0F1DC-0D34-4148-B713-C6E53B5426A2}">
  <dimension ref="A1:J32"/>
  <sheetViews>
    <sheetView workbookViewId="0">
      <selection activeCell="B8" sqref="B8"/>
    </sheetView>
  </sheetViews>
  <sheetFormatPr defaultRowHeight="12.75" x14ac:dyDescent="0.15"/>
  <cols>
    <col min="1" max="2" width="12.40625" customWidth="1"/>
    <col min="3" max="3" width="15.23828125" customWidth="1"/>
    <col min="4" max="4" width="13.75390625" customWidth="1"/>
    <col min="5" max="5" width="20.2265625" customWidth="1"/>
    <col min="6" max="6" width="10.78515625" customWidth="1"/>
    <col min="7" max="7" width="16.98828125" style="15" customWidth="1"/>
    <col min="8" max="8" width="9.70703125" customWidth="1"/>
    <col min="9" max="9" width="16.85546875" customWidth="1"/>
    <col min="10" max="10" width="12.9453125" customWidth="1"/>
  </cols>
  <sheetData>
    <row r="1" spans="1:10" x14ac:dyDescent="0.15">
      <c r="A1" s="7" t="s">
        <v>116</v>
      </c>
      <c r="B1" s="7" t="s">
        <v>117</v>
      </c>
      <c r="C1" s="11" t="s">
        <v>118</v>
      </c>
      <c r="D1" s="7" t="s">
        <v>21</v>
      </c>
      <c r="E1" s="11" t="s">
        <v>119</v>
      </c>
      <c r="F1" s="7" t="s">
        <v>22</v>
      </c>
      <c r="G1" s="12" t="s">
        <v>120</v>
      </c>
      <c r="H1" s="7" t="s">
        <v>23</v>
      </c>
      <c r="I1" s="7" t="s">
        <v>121</v>
      </c>
      <c r="J1" s="7" t="s">
        <v>122</v>
      </c>
    </row>
    <row r="2" spans="1:10" x14ac:dyDescent="0.15">
      <c r="A2" s="9">
        <v>45685</v>
      </c>
      <c r="B2" s="5" t="s">
        <v>123</v>
      </c>
      <c r="C2" s="5" t="s">
        <v>61</v>
      </c>
      <c r="D2" s="5" t="s">
        <v>27</v>
      </c>
      <c r="E2" s="5" t="str">
        <f>CONCATENATE(Table1[[#This Row],[Product Name2]]," ",Table1[[#This Row],[Brand Name]])</f>
        <v>Laptop Dell</v>
      </c>
      <c r="F2" s="5">
        <v>1000</v>
      </c>
      <c r="G2" s="13">
        <f>IF(ISBLANK(Table1[[#This Row],[Price ($)]]),AVERAGE(Table1[Price ($)]),Table1[[#This Row],[Price ($)]])</f>
        <v>1000</v>
      </c>
      <c r="H2" s="5">
        <v>30</v>
      </c>
      <c r="I2" s="5" t="s">
        <v>124</v>
      </c>
      <c r="J2" s="5" t="s">
        <v>124</v>
      </c>
    </row>
    <row r="3" spans="1:10" x14ac:dyDescent="0.15">
      <c r="A3" s="10">
        <v>45703</v>
      </c>
      <c r="B3" s="8" t="s">
        <v>123</v>
      </c>
      <c r="C3" s="8" t="s">
        <v>30</v>
      </c>
      <c r="D3" s="8" t="s">
        <v>31</v>
      </c>
      <c r="E3" s="8" t="str">
        <f>CONCATENATE(Table1[[#This Row],[Product Name2]]," ",Table1[[#This Row],[Brand Name]])</f>
        <v>Sneakers Nike</v>
      </c>
      <c r="F3" s="8">
        <v>80</v>
      </c>
      <c r="G3" s="14">
        <f>IF(ISBLANK(Table1[[#This Row],[Price ($)]]),AVERAGE(Table1[Price ($)]),Table1[[#This Row],[Price ($)]])</f>
        <v>80</v>
      </c>
      <c r="H3" s="8">
        <v>15</v>
      </c>
      <c r="I3" s="8" t="s">
        <v>32</v>
      </c>
      <c r="J3" s="8" t="s">
        <v>32</v>
      </c>
    </row>
    <row r="4" spans="1:10" x14ac:dyDescent="0.15">
      <c r="A4" s="9">
        <v>45719</v>
      </c>
      <c r="B4" s="5" t="s">
        <v>123</v>
      </c>
      <c r="C4" s="5" t="s">
        <v>34</v>
      </c>
      <c r="D4" s="5" t="s">
        <v>35</v>
      </c>
      <c r="E4" s="5" t="str">
        <f>CONCATENATE(Table1[[#This Row],[Product Name2]]," ",Table1[[#This Row],[Brand Name]])</f>
        <v>Coffee Maker Keurig</v>
      </c>
      <c r="F4" s="5">
        <v>130</v>
      </c>
      <c r="G4" s="13">
        <f>IF(ISBLANK(Table1[[#This Row],[Price ($)]]),AVERAGE(Table1[Price ($)]),Table1[[#This Row],[Price ($)]])</f>
        <v>130</v>
      </c>
      <c r="H4" s="5">
        <v>40</v>
      </c>
      <c r="I4" s="5" t="s">
        <v>36</v>
      </c>
      <c r="J4" s="5" t="s">
        <v>36</v>
      </c>
    </row>
    <row r="5" spans="1:10" x14ac:dyDescent="0.15">
      <c r="A5" s="10">
        <v>45758</v>
      </c>
      <c r="B5" s="8" t="s">
        <v>123</v>
      </c>
      <c r="C5" s="8" t="s">
        <v>96</v>
      </c>
      <c r="D5" s="8" t="s">
        <v>39</v>
      </c>
      <c r="E5" s="8" t="str">
        <f>CONCATENATE(Table1[[#This Row],[Product Name2]]," ",Table1[[#This Row],[Brand Name]])</f>
        <v>Smartphone Samsung</v>
      </c>
      <c r="F5" s="8">
        <v>900</v>
      </c>
      <c r="G5" s="14">
        <f>IF(ISBLANK(Table1[[#This Row],[Price ($)]]),AVERAGE(Table1[Price ($)]),Table1[[#This Row],[Price ($)]])</f>
        <v>900</v>
      </c>
      <c r="H5" s="8">
        <v>25</v>
      </c>
      <c r="I5" s="8" t="s">
        <v>124</v>
      </c>
      <c r="J5" s="8" t="s">
        <v>124</v>
      </c>
    </row>
    <row r="6" spans="1:10" x14ac:dyDescent="0.15">
      <c r="A6" s="9">
        <v>45799</v>
      </c>
      <c r="B6" s="5" t="s">
        <v>123</v>
      </c>
      <c r="C6" s="5" t="s">
        <v>41</v>
      </c>
      <c r="D6" s="5" t="s">
        <v>42</v>
      </c>
      <c r="E6" s="5" t="str">
        <f>CONCATENATE(Table1[[#This Row],[Product Name2]]," ",Table1[[#This Row],[Brand Name]])</f>
        <v>Backpack North Face</v>
      </c>
      <c r="F6" s="5">
        <v>70</v>
      </c>
      <c r="G6" s="13">
        <f>IF(ISBLANK(Table1[[#This Row],[Price ($)]]),AVERAGE(Table1[Price ($)]),Table1[[#This Row],[Price ($)]])</f>
        <v>70</v>
      </c>
      <c r="H6" s="5">
        <v>20</v>
      </c>
      <c r="I6" s="5"/>
      <c r="J6" s="5"/>
    </row>
    <row r="7" spans="1:10" x14ac:dyDescent="0.15">
      <c r="A7" s="10">
        <v>45815</v>
      </c>
      <c r="B7" s="8" t="s">
        <v>125</v>
      </c>
      <c r="C7" s="8" t="s">
        <v>44</v>
      </c>
      <c r="D7" s="8" t="s">
        <v>45</v>
      </c>
      <c r="E7" s="8" t="str">
        <f>CONCATENATE(Table1[[#This Row],[Product Name2]]," ",Table1[[#This Row],[Brand Name]])</f>
        <v>Headphones Sony</v>
      </c>
      <c r="F7" s="8"/>
      <c r="G7" s="14">
        <f>IF(ISBLANK(Table1[[#This Row],[Price ($)]]),AVERAGE(Table1[Price ($)]),Table1[[#This Row],[Price ($)]])</f>
        <v>297.85714285714283</v>
      </c>
      <c r="H7" s="8">
        <v>45</v>
      </c>
      <c r="I7" s="8" t="s">
        <v>124</v>
      </c>
      <c r="J7" s="8" t="s">
        <v>124</v>
      </c>
    </row>
    <row r="8" spans="1:10" x14ac:dyDescent="0.15">
      <c r="A8" s="9">
        <v>45857</v>
      </c>
      <c r="B8" s="5" t="s">
        <v>125</v>
      </c>
      <c r="C8" s="5" t="s">
        <v>126</v>
      </c>
      <c r="D8" s="5" t="s">
        <v>49</v>
      </c>
      <c r="E8" s="5" t="str">
        <f>CONCATENATE(Table1[[#This Row],[Product Name2]]," ",Table1[[#This Row],[Brand Name]])</f>
        <v>T-Shirt Adidas</v>
      </c>
      <c r="F8" s="5">
        <v>30</v>
      </c>
      <c r="G8" s="13">
        <f>IF(ISBLANK(Table1[[#This Row],[Price ($)]]),AVERAGE(Table1[Price ($)]),Table1[[#This Row],[Price ($)]])</f>
        <v>30</v>
      </c>
      <c r="H8" s="5">
        <v>5</v>
      </c>
      <c r="I8" s="5" t="s">
        <v>32</v>
      </c>
      <c r="J8" s="5" t="s">
        <v>32</v>
      </c>
    </row>
    <row r="9" spans="1:10" x14ac:dyDescent="0.15">
      <c r="A9" s="10">
        <v>45892</v>
      </c>
      <c r="B9" s="8" t="s">
        <v>125</v>
      </c>
      <c r="C9" s="8" t="s">
        <v>51</v>
      </c>
      <c r="D9" s="8" t="s">
        <v>52</v>
      </c>
      <c r="E9" s="8" t="str">
        <f>CONCATENATE(Table1[[#This Row],[Product Name2]]," ",Table1[[#This Row],[Brand Name]])</f>
        <v>Blender Ninja</v>
      </c>
      <c r="F9" s="8">
        <v>90</v>
      </c>
      <c r="G9" s="14">
        <f>IF(ISBLANK(Table1[[#This Row],[Price ($)]]),AVERAGE(Table1[Price ($)]),Table1[[#This Row],[Price ($)]])</f>
        <v>90</v>
      </c>
      <c r="H9" s="8">
        <v>35</v>
      </c>
      <c r="I9" s="8" t="s">
        <v>36</v>
      </c>
      <c r="J9" s="8" t="s">
        <v>36</v>
      </c>
    </row>
    <row r="10" spans="1:10" x14ac:dyDescent="0.15">
      <c r="A10" s="9">
        <v>45905</v>
      </c>
      <c r="B10" s="5" t="s">
        <v>125</v>
      </c>
      <c r="C10" s="5" t="s">
        <v>54</v>
      </c>
      <c r="D10" s="5" t="s">
        <v>55</v>
      </c>
      <c r="E10" s="5" t="str">
        <f>CONCATENATE(Table1[[#This Row],[Product Name2]]," ",Table1[[#This Row],[Brand Name]])</f>
        <v>Tablet Apple</v>
      </c>
      <c r="F10" s="5">
        <v>500</v>
      </c>
      <c r="G10" s="13">
        <f>IF(ISBLANK(Table1[[#This Row],[Price ($)]]),AVERAGE(Table1[Price ($)]),Table1[[#This Row],[Price ($)]])</f>
        <v>500</v>
      </c>
      <c r="H10" s="5">
        <v>50</v>
      </c>
      <c r="I10" s="5" t="s">
        <v>124</v>
      </c>
      <c r="J10" s="5" t="s">
        <v>124</v>
      </c>
    </row>
    <row r="11" spans="1:10" x14ac:dyDescent="0.15">
      <c r="A11" s="10">
        <v>45944</v>
      </c>
      <c r="B11" s="8" t="s">
        <v>125</v>
      </c>
      <c r="C11" s="8" t="s">
        <v>57</v>
      </c>
      <c r="D11" s="8" t="s">
        <v>58</v>
      </c>
      <c r="E11" s="8" t="str">
        <f>CONCATENATE(Table1[[#This Row],[Product Name2]]," ",Table1[[#This Row],[Brand Name]])</f>
        <v>Hiking Boots Timberland</v>
      </c>
      <c r="F11" s="8">
        <v>130</v>
      </c>
      <c r="G11" s="14">
        <f>IF(ISBLANK(Table1[[#This Row],[Price ($)]]),AVERAGE(Table1[Price ($)]),Table1[[#This Row],[Price ($)]])</f>
        <v>130</v>
      </c>
      <c r="H11" s="8">
        <v>10</v>
      </c>
      <c r="I11" s="8" t="s">
        <v>59</v>
      </c>
      <c r="J11" s="8" t="s">
        <v>59</v>
      </c>
    </row>
    <row r="12" spans="1:10" x14ac:dyDescent="0.15">
      <c r="A12" s="9">
        <v>45825</v>
      </c>
      <c r="B12" s="5" t="s">
        <v>127</v>
      </c>
      <c r="C12" s="5" t="s">
        <v>61</v>
      </c>
      <c r="D12" s="5" t="s">
        <v>62</v>
      </c>
      <c r="E12" s="5" t="str">
        <f>CONCATENATE(Table1[[#This Row],[Product Name2]]," ",Table1[[#This Row],[Brand Name]])</f>
        <v>Laptop HP</v>
      </c>
      <c r="F12" s="5">
        <v>950</v>
      </c>
      <c r="G12" s="13">
        <f>IF(ISBLANK(Table1[[#This Row],[Price ($)]]),AVERAGE(Table1[Price ($)]),Table1[[#This Row],[Price ($)]])</f>
        <v>950</v>
      </c>
      <c r="H12" s="5">
        <v>25</v>
      </c>
      <c r="I12" s="5" t="s">
        <v>124</v>
      </c>
      <c r="J12" s="5" t="s">
        <v>124</v>
      </c>
    </row>
    <row r="13" spans="1:10" x14ac:dyDescent="0.15">
      <c r="A13" s="10">
        <v>45986</v>
      </c>
      <c r="B13" s="8" t="s">
        <v>128</v>
      </c>
      <c r="C13" s="8" t="s">
        <v>30</v>
      </c>
      <c r="D13" s="8" t="s">
        <v>49</v>
      </c>
      <c r="E13" s="8" t="str">
        <f>CONCATENATE(Table1[[#This Row],[Product Name2]]," ",Table1[[#This Row],[Brand Name]])</f>
        <v>Sneakers Adidas</v>
      </c>
      <c r="F13" s="8">
        <v>90</v>
      </c>
      <c r="G13" s="14">
        <f>IF(ISBLANK(Table1[[#This Row],[Price ($)]]),AVERAGE(Table1[Price ($)]),Table1[[#This Row],[Price ($)]])</f>
        <v>90</v>
      </c>
      <c r="H13" s="8">
        <v>40</v>
      </c>
      <c r="I13" s="8"/>
      <c r="J13" s="8"/>
    </row>
    <row r="14" spans="1:10" x14ac:dyDescent="0.15">
      <c r="A14" s="9">
        <v>45999</v>
      </c>
      <c r="B14" s="5" t="s">
        <v>129</v>
      </c>
      <c r="C14" s="5" t="s">
        <v>34</v>
      </c>
      <c r="D14" s="5" t="s">
        <v>65</v>
      </c>
      <c r="E14" s="5" t="str">
        <f>CONCATENATE(Table1[[#This Row],[Product Name2]]," ",Table1[[#This Row],[Brand Name]])</f>
        <v>Coffee Maker Nespresso</v>
      </c>
      <c r="F14" s="5">
        <v>120</v>
      </c>
      <c r="G14" s="13">
        <f>IF(ISBLANK(Table1[[#This Row],[Price ($)]]),AVERAGE(Table1[Price ($)]),Table1[[#This Row],[Price ($)]])</f>
        <v>120</v>
      </c>
      <c r="H14" s="5">
        <v>35</v>
      </c>
      <c r="I14" s="5"/>
      <c r="J14" s="5"/>
    </row>
    <row r="15" spans="1:10" x14ac:dyDescent="0.15">
      <c r="A15" s="10">
        <v>45706</v>
      </c>
      <c r="B15" s="8" t="s">
        <v>130</v>
      </c>
      <c r="C15" s="8" t="s">
        <v>67</v>
      </c>
      <c r="D15" s="8" t="s">
        <v>68</v>
      </c>
      <c r="E15" s="8" t="str">
        <f>CONCATENATE(Table1[[#This Row],[Product Name2]]," ",Table1[[#This Row],[Brand Name]])</f>
        <v>Smartwatch Fitbit</v>
      </c>
      <c r="F15" s="8">
        <v>150</v>
      </c>
      <c r="G15" s="14">
        <f>IF(ISBLANK(Table1[[#This Row],[Price ($)]]),AVERAGE(Table1[Price ($)]),Table1[[#This Row],[Price ($)]])</f>
        <v>150</v>
      </c>
      <c r="H15" s="8">
        <v>15</v>
      </c>
      <c r="I15" s="8" t="s">
        <v>124</v>
      </c>
      <c r="J15" s="8" t="s">
        <v>124</v>
      </c>
    </row>
    <row r="16" spans="1:10" x14ac:dyDescent="0.15">
      <c r="A16" s="9">
        <v>45763</v>
      </c>
      <c r="B16" s="5" t="s">
        <v>131</v>
      </c>
      <c r="C16" s="5" t="s">
        <v>44</v>
      </c>
      <c r="D16" s="5" t="s">
        <v>71</v>
      </c>
      <c r="E16" s="5" t="str">
        <f>CONCATENATE(Table1[[#This Row],[Product Name2]]," ",Table1[[#This Row],[Brand Name]])</f>
        <v>Headphones Bose</v>
      </c>
      <c r="F16" s="5">
        <v>250</v>
      </c>
      <c r="G16" s="13">
        <f>IF(ISBLANK(Table1[[#This Row],[Price ($)]]),AVERAGE(Table1[Price ($)]),Table1[[#This Row],[Price ($)]])</f>
        <v>250</v>
      </c>
      <c r="H16" s="5">
        <v>20</v>
      </c>
      <c r="I16" s="5" t="s">
        <v>124</v>
      </c>
      <c r="J16" s="5" t="s">
        <v>124</v>
      </c>
    </row>
    <row r="17" spans="1:10" x14ac:dyDescent="0.15">
      <c r="A17" s="10">
        <v>45890</v>
      </c>
      <c r="B17" s="8" t="s">
        <v>130</v>
      </c>
      <c r="C17" s="8" t="s">
        <v>73</v>
      </c>
      <c r="D17" s="8" t="s">
        <v>74</v>
      </c>
      <c r="E17" s="8" t="str">
        <f>CONCATENATE(Table1[[#This Row],[Product Name2]]," ",Table1[[#This Row],[Brand Name]])</f>
        <v>Laptop Bag Samsonite</v>
      </c>
      <c r="F17" s="8">
        <v>50</v>
      </c>
      <c r="G17" s="14">
        <f>IF(ISBLANK(Table1[[#This Row],[Price ($)]]),AVERAGE(Table1[Price ($)]),Table1[[#This Row],[Price ($)]])</f>
        <v>50</v>
      </c>
      <c r="H17" s="8">
        <v>35</v>
      </c>
      <c r="I17" s="8" t="s">
        <v>75</v>
      </c>
      <c r="J17" s="8" t="s">
        <v>75</v>
      </c>
    </row>
    <row r="18" spans="1:10" x14ac:dyDescent="0.15">
      <c r="A18" s="9">
        <v>45889</v>
      </c>
      <c r="B18" s="5" t="s">
        <v>132</v>
      </c>
      <c r="C18" s="5" t="s">
        <v>67</v>
      </c>
      <c r="D18" s="5" t="s">
        <v>77</v>
      </c>
      <c r="E18" s="5" t="str">
        <f>CONCATENATE(Table1[[#This Row],[Product Name2]]," ",Table1[[#This Row],[Brand Name]])</f>
        <v>Smartwatch Huawei</v>
      </c>
      <c r="F18" s="5">
        <v>160</v>
      </c>
      <c r="G18" s="13">
        <f>IF(ISBLANK(Table1[[#This Row],[Price ($)]]),AVERAGE(Table1[Price ($)]),Table1[[#This Row],[Price ($)]])</f>
        <v>160</v>
      </c>
      <c r="H18" s="5">
        <v>15</v>
      </c>
      <c r="I18" s="5" t="s">
        <v>124</v>
      </c>
      <c r="J18" s="5" t="s">
        <v>124</v>
      </c>
    </row>
    <row r="19" spans="1:10" x14ac:dyDescent="0.15">
      <c r="A19" s="10">
        <v>45684</v>
      </c>
      <c r="B19" s="8" t="s">
        <v>133</v>
      </c>
      <c r="C19" s="8" t="s">
        <v>61</v>
      </c>
      <c r="D19" s="8" t="s">
        <v>79</v>
      </c>
      <c r="E19" s="8" t="str">
        <f>CONCATENATE(Table1[[#This Row],[Product Name2]]," ",Table1[[#This Row],[Brand Name]])</f>
        <v>Laptop Asus</v>
      </c>
      <c r="F19" s="8">
        <v>980</v>
      </c>
      <c r="G19" s="14">
        <f>IF(ISBLANK(Table1[[#This Row],[Price ($)]]),AVERAGE(Table1[Price ($)]),Table1[[#This Row],[Price ($)]])</f>
        <v>980</v>
      </c>
      <c r="H19" s="8">
        <v>10</v>
      </c>
      <c r="I19" s="8" t="s">
        <v>124</v>
      </c>
      <c r="J19" s="8" t="s">
        <v>124</v>
      </c>
    </row>
    <row r="20" spans="1:10" x14ac:dyDescent="0.15">
      <c r="A20" s="9">
        <v>45717</v>
      </c>
      <c r="B20" s="5" t="s">
        <v>125</v>
      </c>
      <c r="C20" s="5" t="s">
        <v>81</v>
      </c>
      <c r="D20" s="5" t="s">
        <v>82</v>
      </c>
      <c r="E20" s="5" t="str">
        <f>CONCATENATE(Table1[[#This Row],[Product Name2]]," ",Table1[[#This Row],[Brand Name]])</f>
        <v>Sunglasses Oakley</v>
      </c>
      <c r="F20" s="5">
        <v>150</v>
      </c>
      <c r="G20" s="13">
        <f>IF(ISBLANK(Table1[[#This Row],[Price ($)]]),AVERAGE(Table1[Price ($)]),Table1[[#This Row],[Price ($)]])</f>
        <v>150</v>
      </c>
      <c r="H20" s="5">
        <v>15</v>
      </c>
      <c r="I20" s="5" t="s">
        <v>32</v>
      </c>
      <c r="J20" s="5" t="s">
        <v>32</v>
      </c>
    </row>
    <row r="21" spans="1:10" x14ac:dyDescent="0.15">
      <c r="A21" s="10">
        <v>45883</v>
      </c>
      <c r="B21" s="8" t="s">
        <v>123</v>
      </c>
      <c r="C21" s="8" t="s">
        <v>84</v>
      </c>
      <c r="D21" s="8" t="s">
        <v>85</v>
      </c>
      <c r="E21" s="8" t="str">
        <f>CONCATENATE(Table1[[#This Row],[Product Name2]]," ",Table1[[#This Row],[Brand Name]])</f>
        <v>Camping Tent Coleman</v>
      </c>
      <c r="F21" s="8"/>
      <c r="G21" s="14">
        <f>IF(ISBLANK(Table1[[#This Row],[Price ($)]]),AVERAGE(Table1[Price ($)]),Table1[[#This Row],[Price ($)]])</f>
        <v>297.85714285714283</v>
      </c>
      <c r="H21" s="8">
        <v>10</v>
      </c>
      <c r="I21" s="8" t="s">
        <v>59</v>
      </c>
      <c r="J21" s="8" t="s">
        <v>59</v>
      </c>
    </row>
    <row r="22" spans="1:10" x14ac:dyDescent="0.15">
      <c r="A22" s="9">
        <v>45791</v>
      </c>
      <c r="B22" s="5" t="s">
        <v>134</v>
      </c>
      <c r="C22" s="5" t="s">
        <v>87</v>
      </c>
      <c r="D22" s="5" t="s">
        <v>88</v>
      </c>
      <c r="E22" s="5" t="str">
        <f>CONCATENATE(Table1[[#This Row],[Product Name2]]," ",Table1[[#This Row],[Brand Name]])</f>
        <v>Camera Nikon</v>
      </c>
      <c r="F22" s="5">
        <v>700</v>
      </c>
      <c r="G22" s="13">
        <f>IF(ISBLANK(Table1[[#This Row],[Price ($)]]),AVERAGE(Table1[Price ($)]),Table1[[#This Row],[Price ($)]])</f>
        <v>700</v>
      </c>
      <c r="H22" s="5">
        <v>50</v>
      </c>
      <c r="I22" s="5" t="s">
        <v>124</v>
      </c>
      <c r="J22" s="5" t="s">
        <v>124</v>
      </c>
    </row>
    <row r="23" spans="1:10" x14ac:dyDescent="0.15">
      <c r="A23" s="10">
        <v>45666</v>
      </c>
      <c r="B23" s="8" t="s">
        <v>130</v>
      </c>
      <c r="C23" s="8" t="s">
        <v>90</v>
      </c>
      <c r="D23" s="8" t="s">
        <v>91</v>
      </c>
      <c r="E23" s="8" t="str">
        <f>CONCATENATE(Table1[[#This Row],[Product Name2]]," ",Table1[[#This Row],[Brand Name]])</f>
        <v>Microwave Panasonic</v>
      </c>
      <c r="F23" s="8">
        <v>80</v>
      </c>
      <c r="G23" s="14">
        <f>IF(ISBLANK(Table1[[#This Row],[Price ($)]]),AVERAGE(Table1[Price ($)]),Table1[[#This Row],[Price ($)]])</f>
        <v>80</v>
      </c>
      <c r="H23" s="8">
        <v>20</v>
      </c>
      <c r="I23" s="8" t="s">
        <v>36</v>
      </c>
      <c r="J23" s="8" t="s">
        <v>36</v>
      </c>
    </row>
    <row r="24" spans="1:10" x14ac:dyDescent="0.15">
      <c r="A24" s="9">
        <v>45857</v>
      </c>
      <c r="B24" s="5" t="s">
        <v>135</v>
      </c>
      <c r="C24" s="5" t="s">
        <v>93</v>
      </c>
      <c r="D24" s="5" t="s">
        <v>94</v>
      </c>
      <c r="E24" s="5" t="str">
        <f>CONCATENATE(Table1[[#This Row],[Product Name2]]," ",Table1[[#This Row],[Brand Name]])</f>
        <v>Fitness Tracker Xiaomi</v>
      </c>
      <c r="F24" s="5">
        <v>150</v>
      </c>
      <c r="G24" s="13">
        <f>IF(ISBLANK(Table1[[#This Row],[Price ($)]]),AVERAGE(Table1[Price ($)]),Table1[[#This Row],[Price ($)]])</f>
        <v>150</v>
      </c>
      <c r="H24" s="5">
        <v>30</v>
      </c>
      <c r="I24" s="5"/>
      <c r="J24" s="5"/>
    </row>
    <row r="25" spans="1:10" x14ac:dyDescent="0.15">
      <c r="A25" s="9">
        <v>45929</v>
      </c>
      <c r="B25" s="5" t="s">
        <v>130</v>
      </c>
      <c r="C25" s="5" t="s">
        <v>96</v>
      </c>
      <c r="D25" s="5" t="s">
        <v>97</v>
      </c>
      <c r="E25" s="5" t="str">
        <f>CONCATENATE(Table1[[#This Row],[Product Name2]]," ",Table1[[#This Row],[Brand Name]])</f>
        <v>Smartphone Google</v>
      </c>
      <c r="F25" s="5">
        <v>800</v>
      </c>
      <c r="G25" s="13">
        <f>IF(ISBLANK(Table1[[#This Row],[Price ($)]]),AVERAGE(Table1[Price ($)]),Table1[[#This Row],[Price ($)]])</f>
        <v>800</v>
      </c>
      <c r="H25" s="5">
        <v>45</v>
      </c>
      <c r="I25" s="5" t="s">
        <v>124</v>
      </c>
      <c r="J25" s="5" t="s">
        <v>124</v>
      </c>
    </row>
    <row r="26" spans="1:10" x14ac:dyDescent="0.15">
      <c r="A26" s="10">
        <v>45811</v>
      </c>
      <c r="B26" s="8" t="s">
        <v>130</v>
      </c>
      <c r="C26" s="8" t="s">
        <v>81</v>
      </c>
      <c r="D26" s="8" t="s">
        <v>99</v>
      </c>
      <c r="E26" s="8" t="str">
        <f>CONCATENATE(Table1[[#This Row],[Product Name2]]," ",Table1[[#This Row],[Brand Name]])</f>
        <v>Sunglasses Ray-Ban</v>
      </c>
      <c r="F26" s="8"/>
      <c r="G26" s="14">
        <f>IF(ISBLANK(Table1[[#This Row],[Price ($)]]),AVERAGE(Table1[Price ($)]),Table1[[#This Row],[Price ($)]])</f>
        <v>297.85714285714283</v>
      </c>
      <c r="H26" s="8">
        <v>25</v>
      </c>
      <c r="I26" s="8" t="s">
        <v>32</v>
      </c>
      <c r="J26" s="8" t="s">
        <v>32</v>
      </c>
    </row>
    <row r="27" spans="1:10" x14ac:dyDescent="0.15">
      <c r="A27" s="9">
        <v>45849</v>
      </c>
      <c r="B27" s="5" t="s">
        <v>130</v>
      </c>
      <c r="C27" s="5" t="s">
        <v>51</v>
      </c>
      <c r="D27" s="5" t="s">
        <v>101</v>
      </c>
      <c r="E27" s="5" t="str">
        <f>CONCATENATE(Table1[[#This Row],[Product Name2]]," ",Table1[[#This Row],[Brand Name]])</f>
        <v>Blender Vitamix</v>
      </c>
      <c r="F27" s="5">
        <v>400</v>
      </c>
      <c r="G27" s="13">
        <f>IF(ISBLANK(Table1[[#This Row],[Price ($)]]),AVERAGE(Table1[Price ($)]),Table1[[#This Row],[Price ($)]])</f>
        <v>400</v>
      </c>
      <c r="H27" s="5">
        <v>40</v>
      </c>
      <c r="I27" s="5" t="s">
        <v>36</v>
      </c>
      <c r="J27" s="5" t="s">
        <v>36</v>
      </c>
    </row>
    <row r="28" spans="1:10" x14ac:dyDescent="0.15">
      <c r="A28" s="9">
        <v>45723</v>
      </c>
      <c r="B28" s="5" t="s">
        <v>130</v>
      </c>
      <c r="C28" s="5" t="s">
        <v>103</v>
      </c>
      <c r="D28" s="5" t="s">
        <v>104</v>
      </c>
      <c r="E28" s="5" t="str">
        <f>CONCATENATE(Table1[[#This Row],[Product Name2]]," ",Table1[[#This Row],[Brand Name]])</f>
        <v>Dress Zara</v>
      </c>
      <c r="F28" s="5">
        <v>60</v>
      </c>
      <c r="G28" s="13">
        <f>IF(ISBLANK(Table1[[#This Row],[Price ($)]]),AVERAGE(Table1[Price ($)]),Table1[[#This Row],[Price ($)]])</f>
        <v>60</v>
      </c>
      <c r="H28" s="5">
        <v>30</v>
      </c>
      <c r="I28" s="5" t="s">
        <v>32</v>
      </c>
      <c r="J28" s="5" t="s">
        <v>32</v>
      </c>
    </row>
    <row r="29" spans="1:10" x14ac:dyDescent="0.15">
      <c r="A29" s="10">
        <v>45760</v>
      </c>
      <c r="B29" s="8" t="s">
        <v>130</v>
      </c>
      <c r="C29" s="8" t="s">
        <v>106</v>
      </c>
      <c r="D29" s="8" t="s">
        <v>107</v>
      </c>
      <c r="E29" s="8" t="str">
        <f>CONCATENATE(Table1[[#This Row],[Product Name2]]," ",Table1[[#This Row],[Brand Name]])</f>
        <v>Toaster Hamilton</v>
      </c>
      <c r="F29" s="8">
        <v>40</v>
      </c>
      <c r="G29" s="14">
        <f>IF(ISBLANK(Table1[[#This Row],[Price ($)]]),AVERAGE(Table1[Price ($)]),Table1[[#This Row],[Price ($)]])</f>
        <v>40</v>
      </c>
      <c r="H29" s="8">
        <v>10</v>
      </c>
      <c r="I29" s="8" t="s">
        <v>36</v>
      </c>
      <c r="J29" s="8" t="s">
        <v>36</v>
      </c>
    </row>
    <row r="30" spans="1:10" x14ac:dyDescent="0.15">
      <c r="A30" s="9">
        <v>45801</v>
      </c>
      <c r="B30" s="5" t="s">
        <v>130</v>
      </c>
      <c r="C30" s="5" t="s">
        <v>93</v>
      </c>
      <c r="D30" s="5" t="s">
        <v>109</v>
      </c>
      <c r="E30" s="5" t="str">
        <f>CONCATENATE(Table1[[#This Row],[Product Name2]]," ",Table1[[#This Row],[Brand Name]])</f>
        <v>Fitness Tracker Garmin</v>
      </c>
      <c r="F30" s="5">
        <v>130</v>
      </c>
      <c r="G30" s="13">
        <f>IF(ISBLANK(Table1[[#This Row],[Price ($)]]),AVERAGE(Table1[Price ($)]),Table1[[#This Row],[Price ($)]])</f>
        <v>130</v>
      </c>
      <c r="H30" s="5">
        <v>5</v>
      </c>
      <c r="I30" s="5" t="s">
        <v>124</v>
      </c>
      <c r="J30" s="5" t="s">
        <v>124</v>
      </c>
    </row>
    <row r="31" spans="1:10" x14ac:dyDescent="0.15">
      <c r="A31" s="10">
        <v>45993</v>
      </c>
      <c r="B31" s="8" t="s">
        <v>130</v>
      </c>
      <c r="C31" s="8" t="s">
        <v>111</v>
      </c>
      <c r="D31" s="8" t="s">
        <v>112</v>
      </c>
      <c r="E31" s="8" t="str">
        <f>CONCATENATE(Table1[[#This Row],[Product Name2]]," ",Table1[[#This Row],[Brand Name]])</f>
        <v>Jeans Levi's</v>
      </c>
      <c r="F31" s="8">
        <v>50</v>
      </c>
      <c r="G31" s="14">
        <f>IF(ISBLANK(Table1[[#This Row],[Price ($)]]),AVERAGE(Table1[Price ($)]),Table1[[#This Row],[Price ($)]])</f>
        <v>50</v>
      </c>
      <c r="H31" s="8">
        <v>50</v>
      </c>
      <c r="I31" s="8" t="s">
        <v>32</v>
      </c>
      <c r="J31" s="8" t="s">
        <v>32</v>
      </c>
    </row>
    <row r="32" spans="1:10" x14ac:dyDescent="0.15">
      <c r="A32" s="10">
        <v>45847</v>
      </c>
      <c r="B32" s="8" t="s">
        <v>136</v>
      </c>
      <c r="C32" s="8" t="s">
        <v>114</v>
      </c>
      <c r="D32" s="8" t="s">
        <v>115</v>
      </c>
      <c r="E32" s="8" t="str">
        <f>CONCATENATE(Table1[[#This Row],[Product Name2]]," ",Table1[[#This Row],[Brand Name]])</f>
        <v>Watch Casio</v>
      </c>
      <c r="F32" s="8">
        <v>100</v>
      </c>
      <c r="G32" s="14">
        <f>IF(ISBLANK(Table1[[#This Row],[Price ($)]]),AVERAGE(Table1[Price ($)]),Table1[[#This Row],[Price ($)]])</f>
        <v>100</v>
      </c>
      <c r="H32" s="8">
        <v>20</v>
      </c>
      <c r="I32" s="8" t="s">
        <v>75</v>
      </c>
      <c r="J32" s="8" t="s">
        <v>75</v>
      </c>
    </row>
  </sheetData>
  <phoneticPr fontId="8" type="noConversion"/>
  <conditionalFormatting sqref="A1:B32 A36:B1048576">
    <cfRule type="duplicateValues" dxfId="3" priority="4"/>
  </conditionalFormatting>
  <conditionalFormatting sqref="G1:G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{F1BA21E9-5B6E-4BBE-B59C-1050B886944F}</x14:id>
        </ext>
      </extLst>
    </cfRule>
  </conditionalFormatting>
  <conditionalFormatting sqref="I2:I32">
    <cfRule type="containsText" dxfId="2" priority="1" operator="containsText" text="Electronic">
      <formula>NOT(ISERROR(SEARCH("Electronic",I2)))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BA21E9-5B6E-4BBE-B59C-1050B886944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8E446-AF76-4085-8E63-EC9D3CDBFF60}">
  <dimension ref="A1:F33"/>
  <sheetViews>
    <sheetView workbookViewId="0">
      <selection activeCell="I6" sqref="I6"/>
    </sheetView>
  </sheetViews>
  <sheetFormatPr defaultRowHeight="12.75" x14ac:dyDescent="0.15"/>
  <cols>
    <col min="1" max="1" width="14.5625" style="16" bestFit="1" customWidth="1"/>
    <col min="2" max="2" width="14.15625" style="16" customWidth="1"/>
    <col min="3" max="3" width="25.21484375" customWidth="1"/>
    <col min="4" max="4" width="18.33984375" style="15" customWidth="1"/>
    <col min="5" max="5" width="10.65234375" bestFit="1" customWidth="1"/>
    <col min="6" max="6" width="15.23828125" customWidth="1"/>
  </cols>
  <sheetData>
    <row r="1" spans="1:6" x14ac:dyDescent="0.15">
      <c r="A1" s="16" t="s">
        <v>137</v>
      </c>
      <c r="B1" s="16" t="s">
        <v>138</v>
      </c>
      <c r="C1" t="s">
        <v>119</v>
      </c>
      <c r="D1" s="15" t="s">
        <v>22</v>
      </c>
      <c r="E1" t="s">
        <v>23</v>
      </c>
      <c r="F1" t="s">
        <v>24</v>
      </c>
    </row>
    <row r="2" spans="1:6" x14ac:dyDescent="0.15">
      <c r="A2" s="17">
        <v>45685</v>
      </c>
      <c r="B2" s="16" t="s">
        <v>123</v>
      </c>
      <c r="C2" t="s">
        <v>139</v>
      </c>
      <c r="D2" s="15">
        <v>1000</v>
      </c>
      <c r="E2">
        <v>30</v>
      </c>
      <c r="F2" t="s">
        <v>28</v>
      </c>
    </row>
    <row r="3" spans="1:6" x14ac:dyDescent="0.15">
      <c r="A3" s="17">
        <v>45703</v>
      </c>
      <c r="B3" s="16" t="s">
        <v>123</v>
      </c>
      <c r="C3" t="s">
        <v>140</v>
      </c>
      <c r="D3" s="15">
        <v>80</v>
      </c>
      <c r="E3">
        <v>15</v>
      </c>
      <c r="F3" t="s">
        <v>32</v>
      </c>
    </row>
    <row r="4" spans="1:6" x14ac:dyDescent="0.15">
      <c r="A4" s="17">
        <v>45719</v>
      </c>
      <c r="B4" s="16" t="s">
        <v>123</v>
      </c>
      <c r="C4" t="s">
        <v>141</v>
      </c>
      <c r="D4" s="15">
        <v>130</v>
      </c>
      <c r="E4">
        <v>40</v>
      </c>
      <c r="F4" t="s">
        <v>36</v>
      </c>
    </row>
    <row r="5" spans="1:6" x14ac:dyDescent="0.15">
      <c r="A5" s="17">
        <v>45758</v>
      </c>
      <c r="B5" s="16" t="s">
        <v>123</v>
      </c>
      <c r="C5" t="s">
        <v>142</v>
      </c>
      <c r="D5" s="15">
        <v>900</v>
      </c>
      <c r="E5">
        <v>25</v>
      </c>
      <c r="F5" t="s">
        <v>28</v>
      </c>
    </row>
    <row r="6" spans="1:6" x14ac:dyDescent="0.15">
      <c r="A6" s="17">
        <v>45799</v>
      </c>
      <c r="B6" s="16" t="s">
        <v>123</v>
      </c>
      <c r="C6" t="s">
        <v>143</v>
      </c>
      <c r="D6" s="15">
        <v>70</v>
      </c>
      <c r="E6">
        <v>20</v>
      </c>
      <c r="F6" t="s">
        <v>144</v>
      </c>
    </row>
    <row r="7" spans="1:6" x14ac:dyDescent="0.15">
      <c r="A7" s="17">
        <v>45815</v>
      </c>
      <c r="B7" s="16" t="s">
        <v>125</v>
      </c>
      <c r="C7" t="s">
        <v>145</v>
      </c>
      <c r="D7" s="15">
        <v>267.82608695652175</v>
      </c>
      <c r="E7">
        <v>45</v>
      </c>
      <c r="F7" t="s">
        <v>28</v>
      </c>
    </row>
    <row r="8" spans="1:6" x14ac:dyDescent="0.15">
      <c r="A8" s="17">
        <v>45857</v>
      </c>
      <c r="B8" s="16" t="s">
        <v>125</v>
      </c>
      <c r="C8" t="s">
        <v>146</v>
      </c>
      <c r="D8" s="15">
        <v>30</v>
      </c>
      <c r="E8">
        <v>5</v>
      </c>
      <c r="F8" t="s">
        <v>32</v>
      </c>
    </row>
    <row r="9" spans="1:6" x14ac:dyDescent="0.15">
      <c r="A9" s="17">
        <v>45892</v>
      </c>
      <c r="B9" s="16" t="s">
        <v>125</v>
      </c>
      <c r="C9" t="s">
        <v>147</v>
      </c>
      <c r="D9" s="15">
        <v>90</v>
      </c>
      <c r="E9">
        <v>35</v>
      </c>
      <c r="F9" t="s">
        <v>36</v>
      </c>
    </row>
    <row r="10" spans="1:6" x14ac:dyDescent="0.15">
      <c r="A10" s="17">
        <v>45905</v>
      </c>
      <c r="B10" s="16" t="s">
        <v>125</v>
      </c>
      <c r="C10" t="s">
        <v>148</v>
      </c>
      <c r="D10" s="15">
        <v>500</v>
      </c>
      <c r="E10">
        <v>50</v>
      </c>
      <c r="F10" t="s">
        <v>28</v>
      </c>
    </row>
    <row r="11" spans="1:6" x14ac:dyDescent="0.15">
      <c r="A11" s="17">
        <v>45944</v>
      </c>
      <c r="B11" s="16" t="s">
        <v>125</v>
      </c>
      <c r="C11" t="s">
        <v>149</v>
      </c>
      <c r="D11" s="15">
        <v>130</v>
      </c>
      <c r="E11">
        <v>10</v>
      </c>
      <c r="F11" t="s">
        <v>59</v>
      </c>
    </row>
    <row r="12" spans="1:6" x14ac:dyDescent="0.15">
      <c r="A12" s="17">
        <v>45825</v>
      </c>
      <c r="B12" s="16" t="s">
        <v>127</v>
      </c>
      <c r="C12" t="s">
        <v>150</v>
      </c>
      <c r="D12" s="15">
        <v>950</v>
      </c>
      <c r="E12">
        <v>25</v>
      </c>
      <c r="F12" t="s">
        <v>28</v>
      </c>
    </row>
    <row r="13" spans="1:6" x14ac:dyDescent="0.15">
      <c r="A13" s="17">
        <v>45986</v>
      </c>
      <c r="B13" s="16" t="s">
        <v>128</v>
      </c>
      <c r="C13" t="s">
        <v>151</v>
      </c>
      <c r="D13" s="15">
        <v>90</v>
      </c>
      <c r="E13">
        <v>40</v>
      </c>
      <c r="F13" t="s">
        <v>144</v>
      </c>
    </row>
    <row r="14" spans="1:6" x14ac:dyDescent="0.15">
      <c r="A14" s="17">
        <v>45999</v>
      </c>
      <c r="B14" s="16" t="s">
        <v>129</v>
      </c>
      <c r="C14" t="s">
        <v>152</v>
      </c>
      <c r="D14" s="15">
        <v>120</v>
      </c>
      <c r="E14">
        <v>35</v>
      </c>
      <c r="F14" t="s">
        <v>144</v>
      </c>
    </row>
    <row r="15" spans="1:6" x14ac:dyDescent="0.15">
      <c r="A15" s="17">
        <v>45706</v>
      </c>
      <c r="B15" s="16" t="s">
        <v>130</v>
      </c>
      <c r="C15" t="s">
        <v>153</v>
      </c>
      <c r="D15" s="15">
        <v>150</v>
      </c>
      <c r="E15">
        <v>15</v>
      </c>
      <c r="F15" t="s">
        <v>28</v>
      </c>
    </row>
    <row r="16" spans="1:6" x14ac:dyDescent="0.15">
      <c r="A16" s="17">
        <v>45763</v>
      </c>
      <c r="B16" s="16" t="s">
        <v>131</v>
      </c>
      <c r="C16" t="s">
        <v>154</v>
      </c>
      <c r="D16" s="15">
        <v>250</v>
      </c>
      <c r="E16">
        <v>20</v>
      </c>
      <c r="F16" t="s">
        <v>28</v>
      </c>
    </row>
    <row r="17" spans="1:6" x14ac:dyDescent="0.15">
      <c r="A17" s="17">
        <v>45890</v>
      </c>
      <c r="B17" s="16" t="s">
        <v>130</v>
      </c>
      <c r="C17" t="s">
        <v>155</v>
      </c>
      <c r="D17" s="15">
        <v>50</v>
      </c>
      <c r="E17">
        <v>35</v>
      </c>
      <c r="F17" t="s">
        <v>75</v>
      </c>
    </row>
    <row r="18" spans="1:6" x14ac:dyDescent="0.15">
      <c r="A18" s="17">
        <v>45889</v>
      </c>
      <c r="B18" s="16" t="s">
        <v>132</v>
      </c>
      <c r="C18" t="s">
        <v>156</v>
      </c>
      <c r="D18" s="15">
        <v>160</v>
      </c>
      <c r="E18">
        <v>15</v>
      </c>
      <c r="F18" t="s">
        <v>28</v>
      </c>
    </row>
    <row r="19" spans="1:6" x14ac:dyDescent="0.15">
      <c r="A19" s="17">
        <v>45684</v>
      </c>
      <c r="B19" s="16" t="s">
        <v>133</v>
      </c>
      <c r="C19" t="s">
        <v>157</v>
      </c>
      <c r="D19" s="15">
        <v>980</v>
      </c>
      <c r="E19">
        <v>10</v>
      </c>
      <c r="F19" t="s">
        <v>28</v>
      </c>
    </row>
    <row r="20" spans="1:6" x14ac:dyDescent="0.15">
      <c r="A20" s="17">
        <v>45717</v>
      </c>
      <c r="B20" s="16" t="s">
        <v>125</v>
      </c>
      <c r="C20" t="s">
        <v>158</v>
      </c>
      <c r="D20" s="15">
        <v>150</v>
      </c>
      <c r="E20">
        <v>15</v>
      </c>
      <c r="F20" t="s">
        <v>32</v>
      </c>
    </row>
    <row r="21" spans="1:6" x14ac:dyDescent="0.15">
      <c r="A21" s="17">
        <v>45883</v>
      </c>
      <c r="B21" s="16" t="s">
        <v>123</v>
      </c>
      <c r="C21" t="s">
        <v>159</v>
      </c>
      <c r="D21" s="15">
        <v>251</v>
      </c>
      <c r="E21">
        <v>10</v>
      </c>
      <c r="F21" t="s">
        <v>59</v>
      </c>
    </row>
    <row r="22" spans="1:6" x14ac:dyDescent="0.15">
      <c r="A22" s="17">
        <v>45791</v>
      </c>
      <c r="B22" s="16" t="s">
        <v>134</v>
      </c>
      <c r="C22" t="s">
        <v>160</v>
      </c>
      <c r="D22" s="15">
        <v>700</v>
      </c>
      <c r="E22">
        <v>50</v>
      </c>
      <c r="F22" t="s">
        <v>28</v>
      </c>
    </row>
    <row r="23" spans="1:6" x14ac:dyDescent="0.15">
      <c r="A23" s="17">
        <v>45666</v>
      </c>
      <c r="B23" s="16" t="s">
        <v>130</v>
      </c>
      <c r="C23" t="s">
        <v>161</v>
      </c>
      <c r="D23" s="15">
        <v>80</v>
      </c>
      <c r="E23">
        <v>20</v>
      </c>
      <c r="F23" t="s">
        <v>36</v>
      </c>
    </row>
    <row r="24" spans="1:6" x14ac:dyDescent="0.15">
      <c r="A24" s="17">
        <v>45857</v>
      </c>
      <c r="B24" s="16" t="s">
        <v>135</v>
      </c>
      <c r="C24" t="s">
        <v>162</v>
      </c>
      <c r="D24" s="15">
        <v>150</v>
      </c>
      <c r="E24">
        <v>30</v>
      </c>
      <c r="F24" t="s">
        <v>144</v>
      </c>
    </row>
    <row r="25" spans="1:6" x14ac:dyDescent="0.15">
      <c r="A25" s="17">
        <v>45929</v>
      </c>
      <c r="B25" s="16" t="s">
        <v>130</v>
      </c>
      <c r="C25" t="s">
        <v>163</v>
      </c>
      <c r="D25" s="15">
        <v>800</v>
      </c>
      <c r="E25">
        <v>45</v>
      </c>
      <c r="F25" t="s">
        <v>28</v>
      </c>
    </row>
    <row r="26" spans="1:6" x14ac:dyDescent="0.15">
      <c r="A26" s="17">
        <v>45811</v>
      </c>
      <c r="B26" s="16" t="s">
        <v>130</v>
      </c>
      <c r="C26" t="s">
        <v>164</v>
      </c>
      <c r="D26" s="15">
        <v>130</v>
      </c>
      <c r="E26">
        <v>25</v>
      </c>
      <c r="F26" t="s">
        <v>32</v>
      </c>
    </row>
    <row r="27" spans="1:6" x14ac:dyDescent="0.15">
      <c r="A27" s="17">
        <v>45849</v>
      </c>
      <c r="B27" s="16" t="s">
        <v>130</v>
      </c>
      <c r="C27" t="s">
        <v>165</v>
      </c>
      <c r="D27" s="15">
        <v>400</v>
      </c>
      <c r="E27">
        <v>40</v>
      </c>
      <c r="F27" t="s">
        <v>36</v>
      </c>
    </row>
    <row r="28" spans="1:6" x14ac:dyDescent="0.15">
      <c r="A28" s="17">
        <v>45723</v>
      </c>
      <c r="B28" s="16" t="s">
        <v>130</v>
      </c>
      <c r="C28" t="s">
        <v>166</v>
      </c>
      <c r="D28" s="15">
        <v>60</v>
      </c>
      <c r="E28">
        <v>30</v>
      </c>
      <c r="F28" t="s">
        <v>32</v>
      </c>
    </row>
    <row r="29" spans="1:6" x14ac:dyDescent="0.15">
      <c r="A29" s="17">
        <v>45760</v>
      </c>
      <c r="B29" s="16" t="s">
        <v>130</v>
      </c>
      <c r="C29" t="s">
        <v>167</v>
      </c>
      <c r="D29" s="15">
        <v>40</v>
      </c>
      <c r="E29">
        <v>10</v>
      </c>
      <c r="F29" t="s">
        <v>36</v>
      </c>
    </row>
    <row r="30" spans="1:6" x14ac:dyDescent="0.15">
      <c r="A30" s="17">
        <v>45801</v>
      </c>
      <c r="B30" s="16" t="s">
        <v>130</v>
      </c>
      <c r="C30" t="s">
        <v>168</v>
      </c>
      <c r="D30" s="15">
        <v>130</v>
      </c>
      <c r="E30">
        <v>5</v>
      </c>
      <c r="F30" t="s">
        <v>28</v>
      </c>
    </row>
    <row r="31" spans="1:6" x14ac:dyDescent="0.15">
      <c r="A31" s="17">
        <v>45993</v>
      </c>
      <c r="B31" s="16" t="s">
        <v>130</v>
      </c>
      <c r="C31" t="s">
        <v>169</v>
      </c>
      <c r="D31" s="15">
        <v>50</v>
      </c>
      <c r="E31">
        <v>50</v>
      </c>
      <c r="F31" t="s">
        <v>32</v>
      </c>
    </row>
    <row r="32" spans="1:6" x14ac:dyDescent="0.15">
      <c r="A32" s="17">
        <v>45847</v>
      </c>
      <c r="B32" s="16" t="s">
        <v>136</v>
      </c>
      <c r="C32" t="s">
        <v>170</v>
      </c>
      <c r="D32" s="15">
        <v>100</v>
      </c>
      <c r="E32">
        <v>20</v>
      </c>
      <c r="F32" t="s">
        <v>75</v>
      </c>
    </row>
    <row r="33" spans="1:1" x14ac:dyDescent="0.15">
      <c r="A33" s="17"/>
    </row>
  </sheetData>
  <conditionalFormatting sqref="D1:D1048576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{3B4453BA-F2BB-4590-88E7-5DAD0D7E2A70}</x14:id>
        </ext>
      </extLst>
    </cfRule>
    <cfRule type="colorScale" priority="5">
      <colorScale>
        <cfvo type="min"/>
        <cfvo type="max"/>
        <color theme="2"/>
        <color rgb="FFFFEF9C"/>
      </colorScale>
    </cfRule>
  </conditionalFormatting>
  <conditionalFormatting sqref="F1:F1048576">
    <cfRule type="containsText" dxfId="1" priority="1" operator="containsText" text="Electron">
      <formula>NOT(ISERROR(SEARCH("Electron",F1)))</formula>
    </cfRule>
    <cfRule type="containsText" dxfId="0" priority="2" operator="containsText" text="Electronics">
      <formula>NOT(ISERROR(SEARCH("Electronics",F1)))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4453BA-F2BB-4590-88E7-5DAD0D7E2A7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8D6F18-2191-4BCF-A0F4-1984FC68F9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</vt:lpstr>
      <vt:lpstr>Sheet1</vt:lpstr>
      <vt:lpstr>Cleaned 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ramz</dc:creator>
  <cp:keywords/>
  <dc:description/>
  <cp:lastModifiedBy>fathima c</cp:lastModifiedBy>
  <cp:revision/>
  <dcterms:created xsi:type="dcterms:W3CDTF">2025-07-25T09:04:50Z</dcterms:created>
  <dcterms:modified xsi:type="dcterms:W3CDTF">2025-07-26T11:49:03Z</dcterms:modified>
  <cp:category/>
  <cp:contentStatus/>
</cp:coreProperties>
</file>